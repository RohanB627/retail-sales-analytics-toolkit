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28332d1d021969d/Desktop/Rohan/Project/UCI Sales/Raw Data/"/>
    </mc:Choice>
  </mc:AlternateContent>
  <xr:revisionPtr revIDLastSave="250" documentId="11_E2434BE5C894E511812201B97728EEDF131CA4C9" xr6:coauthVersionLast="47" xr6:coauthVersionMax="47" xr10:uidLastSave="{610BF5E9-9B39-4869-972B-3F52985E1DE4}"/>
  <bookViews>
    <workbookView xWindow="-90" yWindow="0" windowWidth="19380" windowHeight="20970" tabRatio="500" firstSheet="1" activeTab="3" xr2:uid="{00000000-000D-0000-FFFF-FFFF00000000}"/>
  </bookViews>
  <sheets>
    <sheet name="README" sheetId="1" r:id="rId1"/>
    <sheet name="Monthly Sales (Wide)" sheetId="2" r:id="rId2"/>
    <sheet name="Monthly Sales (Long)" sheetId="3" r:id="rId3"/>
    <sheet name="Loan Details" sheetId="4" r:id="rId4"/>
    <sheet name="Amortization" sheetId="5" r:id="rId5"/>
    <sheet name="Production Mix (Solver)" sheetId="6" r:id="rId6"/>
  </sheets>
  <definedNames>
    <definedName name="solver_adj" localSheetId="5" hidden="1">'Production Mix (Solver)'!$B$4:$B$5</definedName>
    <definedName name="solver_cvg" localSheetId="5" hidden="1">0.0001</definedName>
    <definedName name="solver_drv" localSheetId="5" hidden="1">1</definedName>
    <definedName name="solver_eng" localSheetId="5" hidden="1">2</definedName>
    <definedName name="solver_eng" localSheetId="0" hidden="1">1</definedName>
    <definedName name="solver_est" localSheetId="5" hidden="1">1</definedName>
    <definedName name="solver_itr" localSheetId="5" hidden="1">2147483647</definedName>
    <definedName name="solver_lhs1" localSheetId="5" hidden="1">'Production Mix (Solver)'!$B$16</definedName>
    <definedName name="solver_lhs2" localSheetId="5" hidden="1">'Production Mix (Solver)'!$B$17</definedName>
    <definedName name="solver_lhs3" localSheetId="5" hidden="1">'Production Mix (Solver)'!$B$4:$B$5</definedName>
    <definedName name="solver_mip" localSheetId="5" hidden="1">2147483647</definedName>
    <definedName name="solver_mni" localSheetId="5" hidden="1">30</definedName>
    <definedName name="solver_mrt" localSheetId="5" hidden="1">0.075</definedName>
    <definedName name="solver_msl" localSheetId="5" hidden="1">2</definedName>
    <definedName name="solver_neg" localSheetId="5" hidden="1">1</definedName>
    <definedName name="solver_neg" localSheetId="0" hidden="1">1</definedName>
    <definedName name="solver_nod" localSheetId="5" hidden="1">2147483647</definedName>
    <definedName name="solver_num" localSheetId="5" hidden="1">3</definedName>
    <definedName name="solver_num" localSheetId="0" hidden="1">0</definedName>
    <definedName name="solver_nwt" localSheetId="5" hidden="1">1</definedName>
    <definedName name="solver_opt" localSheetId="5" hidden="1">'Production Mix (Solver)'!$B$15</definedName>
    <definedName name="solver_pre" localSheetId="5" hidden="1">0.000001</definedName>
    <definedName name="solver_rbv" localSheetId="5" hidden="1">1</definedName>
    <definedName name="solver_rel1" localSheetId="5" hidden="1">1</definedName>
    <definedName name="solver_rel2" localSheetId="5" hidden="1">1</definedName>
    <definedName name="solver_rel3" localSheetId="5" hidden="1">3</definedName>
    <definedName name="solver_rhs1" localSheetId="5" hidden="1">'Production Mix (Solver)'!$B$12</definedName>
    <definedName name="solver_rhs2" localSheetId="5" hidden="1">'Production Mix (Solver)'!$B$13</definedName>
    <definedName name="solver_rhs3" localSheetId="5" hidden="1">0</definedName>
    <definedName name="solver_rlx" localSheetId="5" hidden="1">2</definedName>
    <definedName name="solver_rsd" localSheetId="5" hidden="1">0</definedName>
    <definedName name="solver_scl" localSheetId="5" hidden="1">1</definedName>
    <definedName name="solver_sho" localSheetId="5" hidden="1">2</definedName>
    <definedName name="solver_ssz" localSheetId="5" hidden="1">100</definedName>
    <definedName name="solver_tim" localSheetId="5" hidden="1">2147483647</definedName>
    <definedName name="solver_tol" localSheetId="5" hidden="1">0.01</definedName>
    <definedName name="solver_typ" localSheetId="5" hidden="1">1</definedName>
    <definedName name="solver_typ" localSheetId="0" hidden="1">1</definedName>
    <definedName name="solver_val" localSheetId="5" hidden="1">0</definedName>
    <definedName name="solver_val" localSheetId="0" hidden="1">0</definedName>
    <definedName name="solver_ver" localSheetId="5" hidden="1">3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7" i="6" l="1"/>
  <c r="B16" i="6"/>
  <c r="D10" i="6"/>
  <c r="C10" i="6"/>
  <c r="D9" i="6"/>
  <c r="B15" i="6" s="1"/>
  <c r="C9" i="6"/>
  <c r="D18" i="5"/>
  <c r="C18" i="5"/>
  <c r="D17" i="5"/>
  <c r="C17" i="5"/>
  <c r="D16" i="5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C7" i="5"/>
  <c r="C20" i="5" s="1"/>
  <c r="B3" i="5"/>
  <c r="B16" i="5" s="1"/>
  <c r="C111" i="3"/>
  <c r="B9" i="5" l="1"/>
  <c r="B13" i="5"/>
  <c r="B17" i="5"/>
  <c r="B10" i="5"/>
  <c r="B14" i="5"/>
  <c r="B18" i="5"/>
  <c r="B7" i="5"/>
  <c r="B11" i="5"/>
  <c r="B15" i="5"/>
  <c r="B8" i="5"/>
  <c r="B12" i="5"/>
</calcChain>
</file>

<file path=xl/sharedStrings.xml><?xml version="1.0" encoding="utf-8"?>
<sst xmlns="http://schemas.openxmlformats.org/spreadsheetml/2006/main" count="297" uniqueCount="75">
  <si>
    <t>Retail Sales Planning &amp; Analytics Toolkit</t>
  </si>
  <si>
    <t>Data source: UCI "Online Retail" dataset - real UK-based online gift retailer,</t>
  </si>
  <si>
    <t>01/12/2010 to 09/12/2011. 528,962 real transactions across 38 countries and 4,073 products.</t>
  </si>
  <si>
    <t>Public dataset (CC BY 4.0). Chen, D. (2015). Online Retail. UCI Machine Learning Repository.</t>
  </si>
  <si>
    <t>Project structure:</t>
  </si>
  <si>
    <t xml:space="preserve">  1. Monthly Sales (Wide)   - raw monthly report, top 10 products x 13 months, as received</t>
  </si>
  <si>
    <t xml:space="preserve">  2. Monthly Sales (Long)   - unpivoted via Power Query (Unpivot Other Columns), then</t>
  </si>
  <si>
    <t xml:space="preserve">                              auto-formatted via VBA macro (see FormatMonthlySalesReport.bas)</t>
  </si>
  <si>
    <t xml:space="preserve">  3. Loan Details / Amortization - inventory financing model (PMT/IPMT/PPMT) sized against</t>
  </si>
  <si>
    <t xml:space="preserve">                              this product's real average monthly revenue</t>
  </si>
  <si>
    <t xml:space="preserve">  4. Production Mix (Solver) - profit-maximizing stock order under budget &amp; storage constraints,</t>
  </si>
  <si>
    <t xml:space="preserve">                              using real average unit prices; margin assumption documented on sheet</t>
  </si>
  <si>
    <t>Companion files (same folder / repo):</t>
  </si>
  <si>
    <t xml:space="preserve">  - real_online_retail_transactions.csv  -&gt; full cleaned transaction data, feeds the Tableau dashboard</t>
  </si>
  <si>
    <t xml:space="preserve">  - FormatMonthlySalesReport.bas          -&gt; VBA module source (import via VBA Editor &gt; File &gt; Import File)</t>
  </si>
  <si>
    <t xml:space="preserve">  - Tableau_Dashboard_Spec.md              -&gt; calculated fields, LOD expressions, and dashboard layout</t>
  </si>
  <si>
    <t>Assumptions made (documented, not hidden):</t>
  </si>
  <si>
    <t xml:space="preserve">  - Non-product line items excluded from analysis: POST, D, M, DOT, C2, BANK CHARGES</t>
  </si>
  <si>
    <t xml:space="preserve">  - Production Mix model assumes a 60% cost-to-price ratio (no cost data in source dataset)</t>
  </si>
  <si>
    <t xml:space="preserve">  - Loan model assumes a standalone 12-month inventory financing facility at 7.5% APR</t>
  </si>
  <si>
    <t>Product</t>
  </si>
  <si>
    <t>Dec-10</t>
  </si>
  <si>
    <t>Jan-11</t>
  </si>
  <si>
    <t>Feb-11</t>
  </si>
  <si>
    <t>Mar-11</t>
  </si>
  <si>
    <t>Apr-11</t>
  </si>
  <si>
    <t>May-11</t>
  </si>
  <si>
    <t>Jun-11</t>
  </si>
  <si>
    <t>Jul-11</t>
  </si>
  <si>
    <t>Aug-11</t>
  </si>
  <si>
    <t>Sep-11</t>
  </si>
  <si>
    <t>Oct-11</t>
  </si>
  <si>
    <t>Nov-11</t>
  </si>
  <si>
    <t>Dec-11</t>
  </si>
  <si>
    <t>ASSORTED COLOUR BIRD ORNAMENT</t>
  </si>
  <si>
    <t>CHILLI LIGHTS</t>
  </si>
  <si>
    <t>JUMBO BAG RED RETROSPOT</t>
  </si>
  <si>
    <t>MEDIUM CERAMIC TOP STORAGE JAR</t>
  </si>
  <si>
    <t xml:space="preserve">PAPER CHAIN KIT 50'S CHRISTMAS </t>
  </si>
  <si>
    <t>PAPER CRAFT , LITTLE BIRDIE</t>
  </si>
  <si>
    <t>PARTY BUNTING</t>
  </si>
  <si>
    <t>RABBIT NIGHT LIGHT</t>
  </si>
  <si>
    <t>REGENCY CAKESTAND 3 TIER</t>
  </si>
  <si>
    <t>WHITE HANGING HEART T-LIGHT HOLDER</t>
  </si>
  <si>
    <t>Month</t>
  </si>
  <si>
    <t>Revenue</t>
  </si>
  <si>
    <t>Total</t>
  </si>
  <si>
    <t>Built by: Power Query 'Unpivot Other Columns' on Monthly Sales (Wide), then FormatMonthlySalesReport VBA macro (bold header, currency format, dynamic Total row via LastRow, borders). See FormatMonthlySalesReport.bas.</t>
  </si>
  <si>
    <t>Inventory Financing - Loan Details</t>
  </si>
  <si>
    <t>Loan Amount (Principal)</t>
  </si>
  <si>
    <t>Annual Interest Rate</t>
  </si>
  <si>
    <t>Loan Term (Years)</t>
  </si>
  <si>
    <t>Payments per Year</t>
  </si>
  <si>
    <t>Business case: REGENCY CAKESTAND 3 TIER is the top real product by revenue (£174,485 total). Average monthly revenue for this product is ~£13,400, peaking at £27,870 in December. £25,000 (~2x average monthly revenue) sized to fund inventory buildup ahead of the Nov/Dec peak.</t>
  </si>
  <si>
    <t>Inventory Loan Amortization Schedule</t>
  </si>
  <si>
    <t>Monthly Payment:</t>
  </si>
  <si>
    <t>Payment</t>
  </si>
  <si>
    <t>Interest</t>
  </si>
  <si>
    <t>Principal</t>
  </si>
  <si>
    <t>Remaining Balance</t>
  </si>
  <si>
    <t>Total Interest Paid:</t>
  </si>
  <si>
    <t>Monthly Stock Order Optimization</t>
  </si>
  <si>
    <t>Real avg. unit prices from the dataset. Cost assumed at 60% of price (margin assumption - no cost data in source). Storage footprint (sqft/unit) is an estimated planning assumption.</t>
  </si>
  <si>
    <t>Cakestand units to order</t>
  </si>
  <si>
    <t>Jumbo Bag units to order</t>
  </si>
  <si>
    <t>Unit Price</t>
  </si>
  <si>
    <t>Assumed Cost</t>
  </si>
  <si>
    <t>Profit/Unit</t>
  </si>
  <si>
    <t>Storage (sqft/unit)</t>
  </si>
  <si>
    <t>Monthly Restocking Budget</t>
  </si>
  <si>
    <t>Warehouse Storage Capacity (sqft)</t>
  </si>
  <si>
    <t>Total Profit</t>
  </si>
  <si>
    <t>Budget Used</t>
  </si>
  <si>
    <t>Storage Used</t>
  </si>
  <si>
    <t>Solver setup: Set Objective B15 (Max), By Changing B4:B5, Subject to: B16&lt;=B12, B17&lt;=B13, B4:B5&gt;=0. Solving Method: Simplex LP. (Run Solver in Excel to populate B4:B5 - not executable from this environment.)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</si>
</sst>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£#,##0.00"/>
    <numFmt numFmtId="165" formatCode="\£#,##0"/>
    <numFmt numFmtId="166" formatCode="0.0"/>
  </numFmts>
  <fonts count="9" x14ac:knownFonts="1">
    <font>
      <sz val="11"/>
      <color theme="1"/>
      <name val="Calibri"/>
      <family val="2"/>
      <charset val="1"/>
    </font>
    <font>
      <b/>
      <sz val="16"/>
      <name val="Arial"/>
      <family val="2"/>
    </font>
    <font>
      <b/>
      <sz val="11"/>
      <name val="Arial"/>
      <family val="2"/>
    </font>
    <font>
      <i/>
      <sz val="11"/>
      <color rgb="FF808080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11"/>
      <color rgb="FF0000FF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4" fillId="2" borderId="0" xfId="0" applyFont="1" applyFill="1"/>
    <xf numFmtId="0" fontId="5" fillId="0" borderId="0" xfId="0" applyFont="1"/>
    <xf numFmtId="3" fontId="5" fillId="0" borderId="0" xfId="0" applyNumberFormat="1" applyFont="1"/>
    <xf numFmtId="0" fontId="4" fillId="2" borderId="1" xfId="0" applyFont="1" applyFill="1" applyBorder="1"/>
    <xf numFmtId="0" fontId="5" fillId="0" borderId="1" xfId="0" applyFont="1" applyBorder="1"/>
    <xf numFmtId="164" fontId="5" fillId="0" borderId="1" xfId="0" applyNumberFormat="1" applyFont="1" applyBorder="1"/>
    <xf numFmtId="0" fontId="2" fillId="0" borderId="1" xfId="0" applyFont="1" applyBorder="1"/>
    <xf numFmtId="0" fontId="0" fillId="0" borderId="1" xfId="0" applyBorder="1"/>
    <xf numFmtId="164" fontId="2" fillId="0" borderId="1" xfId="0" applyNumberFormat="1" applyFont="1" applyBorder="1"/>
    <xf numFmtId="165" fontId="7" fillId="3" borderId="0" xfId="0" applyNumberFormat="1" applyFont="1" applyFill="1"/>
    <xf numFmtId="10" fontId="7" fillId="3" borderId="0" xfId="0" applyNumberFormat="1" applyFont="1" applyFill="1"/>
    <xf numFmtId="0" fontId="7" fillId="3" borderId="0" xfId="0" applyFont="1" applyFill="1"/>
    <xf numFmtId="164" fontId="8" fillId="0" borderId="0" xfId="0" applyNumberFormat="1" applyFont="1"/>
    <xf numFmtId="164" fontId="5" fillId="0" borderId="0" xfId="0" applyNumberFormat="1" applyFont="1"/>
    <xf numFmtId="164" fontId="2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0" fontId="6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zoomScaleNormal="100" workbookViewId="0">
      <selection activeCell="A42" sqref="A42"/>
    </sheetView>
  </sheetViews>
  <sheetFormatPr defaultColWidth="8.6328125" defaultRowHeight="14.5" x14ac:dyDescent="0.35"/>
  <cols>
    <col min="1" max="1" width="100" customWidth="1"/>
  </cols>
  <sheetData>
    <row r="1" spans="1:6" ht="20" x14ac:dyDescent="0.4">
      <c r="A1" s="22" t="s">
        <v>0</v>
      </c>
      <c r="B1" s="22"/>
      <c r="C1" s="22"/>
      <c r="D1" s="22"/>
      <c r="E1" s="22"/>
      <c r="F1" s="22"/>
    </row>
    <row r="2" spans="1:6" x14ac:dyDescent="0.35">
      <c r="A2" s="21"/>
      <c r="B2" s="21"/>
      <c r="C2" s="21"/>
      <c r="D2" s="21"/>
      <c r="E2" s="21"/>
      <c r="F2" s="21"/>
    </row>
    <row r="3" spans="1:6" x14ac:dyDescent="0.35">
      <c r="A3" s="20" t="s">
        <v>1</v>
      </c>
      <c r="B3" s="20"/>
      <c r="C3" s="20"/>
      <c r="D3" s="20"/>
      <c r="E3" s="20"/>
      <c r="F3" s="20"/>
    </row>
    <row r="4" spans="1:6" x14ac:dyDescent="0.35">
      <c r="A4" s="20" t="s">
        <v>2</v>
      </c>
      <c r="B4" s="20"/>
      <c r="C4" s="20"/>
      <c r="D4" s="20"/>
      <c r="E4" s="20"/>
      <c r="F4" s="20"/>
    </row>
    <row r="5" spans="1:6" x14ac:dyDescent="0.35">
      <c r="A5" s="20" t="s">
        <v>3</v>
      </c>
      <c r="B5" s="20"/>
      <c r="C5" s="20"/>
      <c r="D5" s="20"/>
      <c r="E5" s="20"/>
      <c r="F5" s="20"/>
    </row>
    <row r="6" spans="1:6" x14ac:dyDescent="0.35">
      <c r="A6" s="21"/>
      <c r="B6" s="21"/>
      <c r="C6" s="21"/>
      <c r="D6" s="21"/>
      <c r="E6" s="21"/>
      <c r="F6" s="21"/>
    </row>
    <row r="7" spans="1:6" x14ac:dyDescent="0.35">
      <c r="A7" s="21" t="s">
        <v>4</v>
      </c>
      <c r="B7" s="21"/>
      <c r="C7" s="21"/>
      <c r="D7" s="21"/>
      <c r="E7" s="21"/>
      <c r="F7" s="21"/>
    </row>
    <row r="8" spans="1:6" x14ac:dyDescent="0.35">
      <c r="A8" s="20" t="s">
        <v>5</v>
      </c>
      <c r="B8" s="20"/>
      <c r="C8" s="20"/>
      <c r="D8" s="20"/>
      <c r="E8" s="20"/>
      <c r="F8" s="20"/>
    </row>
    <row r="9" spans="1:6" x14ac:dyDescent="0.35">
      <c r="A9" s="20" t="s">
        <v>6</v>
      </c>
      <c r="B9" s="20"/>
      <c r="C9" s="20"/>
      <c r="D9" s="20"/>
      <c r="E9" s="20"/>
      <c r="F9" s="20"/>
    </row>
    <row r="10" spans="1:6" x14ac:dyDescent="0.35">
      <c r="A10" s="20" t="s">
        <v>7</v>
      </c>
      <c r="B10" s="20"/>
      <c r="C10" s="20"/>
      <c r="D10" s="20"/>
      <c r="E10" s="20"/>
      <c r="F10" s="20"/>
    </row>
    <row r="11" spans="1:6" x14ac:dyDescent="0.35">
      <c r="A11" s="20" t="s">
        <v>8</v>
      </c>
      <c r="B11" s="20"/>
      <c r="C11" s="20"/>
      <c r="D11" s="20"/>
      <c r="E11" s="20"/>
      <c r="F11" s="20"/>
    </row>
    <row r="12" spans="1:6" x14ac:dyDescent="0.35">
      <c r="A12" s="20" t="s">
        <v>9</v>
      </c>
      <c r="B12" s="20"/>
      <c r="C12" s="20"/>
      <c r="D12" s="20"/>
      <c r="E12" s="20"/>
      <c r="F12" s="20"/>
    </row>
    <row r="13" spans="1:6" x14ac:dyDescent="0.35">
      <c r="A13" s="20" t="s">
        <v>10</v>
      </c>
      <c r="B13" s="20"/>
      <c r="C13" s="20"/>
      <c r="D13" s="20"/>
      <c r="E13" s="20"/>
      <c r="F13" s="20"/>
    </row>
    <row r="14" spans="1:6" x14ac:dyDescent="0.35">
      <c r="A14" s="20" t="s">
        <v>11</v>
      </c>
      <c r="B14" s="20"/>
      <c r="C14" s="20"/>
      <c r="D14" s="20"/>
      <c r="E14" s="20"/>
      <c r="F14" s="20"/>
    </row>
    <row r="15" spans="1:6" x14ac:dyDescent="0.35">
      <c r="A15" s="21"/>
      <c r="B15" s="21"/>
      <c r="C15" s="21"/>
      <c r="D15" s="21"/>
      <c r="E15" s="21"/>
      <c r="F15" s="21"/>
    </row>
    <row r="16" spans="1:6" x14ac:dyDescent="0.35">
      <c r="A16" s="21" t="s">
        <v>12</v>
      </c>
      <c r="B16" s="21"/>
      <c r="C16" s="21"/>
      <c r="D16" s="21"/>
      <c r="E16" s="21"/>
      <c r="F16" s="21"/>
    </row>
    <row r="17" spans="1:6" x14ac:dyDescent="0.35">
      <c r="A17" s="20" t="s">
        <v>13</v>
      </c>
      <c r="B17" s="20"/>
      <c r="C17" s="20"/>
      <c r="D17" s="20"/>
      <c r="E17" s="20"/>
      <c r="F17" s="20"/>
    </row>
    <row r="18" spans="1:6" x14ac:dyDescent="0.35">
      <c r="A18" s="20" t="s">
        <v>14</v>
      </c>
      <c r="B18" s="20"/>
      <c r="C18" s="20"/>
      <c r="D18" s="20"/>
      <c r="E18" s="20"/>
      <c r="F18" s="20"/>
    </row>
    <row r="19" spans="1:6" x14ac:dyDescent="0.35">
      <c r="A19" s="20" t="s">
        <v>15</v>
      </c>
      <c r="B19" s="20"/>
      <c r="C19" s="20"/>
      <c r="D19" s="20"/>
      <c r="E19" s="20"/>
      <c r="F19" s="20"/>
    </row>
    <row r="20" spans="1:6" x14ac:dyDescent="0.35">
      <c r="A20" s="21"/>
      <c r="B20" s="21"/>
      <c r="C20" s="21"/>
      <c r="D20" s="21"/>
      <c r="E20" s="21"/>
      <c r="F20" s="21"/>
    </row>
    <row r="21" spans="1:6" x14ac:dyDescent="0.35">
      <c r="A21" s="21" t="s">
        <v>16</v>
      </c>
      <c r="B21" s="21"/>
      <c r="C21" s="21"/>
      <c r="D21" s="21"/>
      <c r="E21" s="21"/>
      <c r="F21" s="21"/>
    </row>
    <row r="22" spans="1:6" x14ac:dyDescent="0.35">
      <c r="A22" s="20" t="s">
        <v>17</v>
      </c>
      <c r="B22" s="20"/>
      <c r="C22" s="20"/>
      <c r="D22" s="20"/>
      <c r="E22" s="20"/>
      <c r="F22" s="20"/>
    </row>
    <row r="23" spans="1:6" x14ac:dyDescent="0.35">
      <c r="A23" s="20" t="s">
        <v>18</v>
      </c>
      <c r="B23" s="20"/>
      <c r="C23" s="20"/>
      <c r="D23" s="20"/>
      <c r="E23" s="20"/>
      <c r="F23" s="20"/>
    </row>
    <row r="24" spans="1:6" x14ac:dyDescent="0.35">
      <c r="A24" s="20" t="s">
        <v>19</v>
      </c>
      <c r="B24" s="20"/>
      <c r="C24" s="20"/>
      <c r="D24" s="20"/>
      <c r="E24" s="20"/>
      <c r="F24" s="20"/>
    </row>
  </sheetData>
  <mergeCells count="2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21:F21"/>
    <mergeCell ref="A22:F22"/>
    <mergeCell ref="A23:F23"/>
    <mergeCell ref="A24:F24"/>
    <mergeCell ref="A16:F16"/>
    <mergeCell ref="A17:F17"/>
    <mergeCell ref="A18:F18"/>
    <mergeCell ref="A19:F19"/>
    <mergeCell ref="A20:F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5" sqref="E25"/>
    </sheetView>
  </sheetViews>
  <sheetFormatPr defaultColWidth="8.6328125" defaultRowHeight="14.5" x14ac:dyDescent="0.35"/>
  <cols>
    <col min="1" max="1" width="32" customWidth="1"/>
    <col min="2" max="14" width="10" customWidth="1"/>
  </cols>
  <sheetData>
    <row r="1" spans="1:14" x14ac:dyDescent="0.3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</row>
    <row r="2" spans="1:14" x14ac:dyDescent="0.35">
      <c r="A2" s="3" t="s">
        <v>34</v>
      </c>
      <c r="B2" s="4">
        <v>3986</v>
      </c>
      <c r="C2" s="4">
        <v>2921</v>
      </c>
      <c r="D2" s="4">
        <v>2736</v>
      </c>
      <c r="E2" s="4">
        <v>4303</v>
      </c>
      <c r="F2" s="4">
        <v>4174</v>
      </c>
      <c r="G2" s="4">
        <v>5052</v>
      </c>
      <c r="H2" s="4">
        <v>2628</v>
      </c>
      <c r="I2" s="4">
        <v>3129</v>
      </c>
      <c r="J2" s="4">
        <v>9882</v>
      </c>
      <c r="K2" s="4">
        <v>4994</v>
      </c>
      <c r="L2" s="4">
        <v>4686</v>
      </c>
      <c r="M2" s="4">
        <v>8441</v>
      </c>
      <c r="N2" s="4">
        <v>2163</v>
      </c>
    </row>
    <row r="3" spans="1:14" x14ac:dyDescent="0.35">
      <c r="A3" s="3" t="s">
        <v>35</v>
      </c>
      <c r="B3" s="4">
        <v>7506</v>
      </c>
      <c r="C3" s="4">
        <v>5901</v>
      </c>
      <c r="D3" s="4">
        <v>3616</v>
      </c>
      <c r="E3" s="4">
        <v>3093</v>
      </c>
      <c r="F3" s="4">
        <v>358</v>
      </c>
      <c r="G3" s="4">
        <v>2297</v>
      </c>
      <c r="H3" s="4">
        <v>2310</v>
      </c>
      <c r="I3" s="4">
        <v>4295</v>
      </c>
      <c r="J3" s="4">
        <v>2260</v>
      </c>
      <c r="K3" s="4">
        <v>3677</v>
      </c>
      <c r="L3" s="4">
        <v>4678</v>
      </c>
      <c r="M3" s="4">
        <v>11486</v>
      </c>
      <c r="N3" s="4">
        <v>2640</v>
      </c>
    </row>
    <row r="4" spans="1:14" x14ac:dyDescent="0.35">
      <c r="A4" s="3" t="s">
        <v>36</v>
      </c>
      <c r="B4" s="4">
        <v>4019</v>
      </c>
      <c r="C4" s="4">
        <v>5048</v>
      </c>
      <c r="D4" s="4">
        <v>5617</v>
      </c>
      <c r="E4" s="4">
        <v>10118</v>
      </c>
      <c r="F4" s="4">
        <v>4878</v>
      </c>
      <c r="G4" s="4">
        <v>7123</v>
      </c>
      <c r="H4" s="4">
        <v>7248</v>
      </c>
      <c r="I4" s="4">
        <v>6254</v>
      </c>
      <c r="J4" s="4">
        <v>10797</v>
      </c>
      <c r="K4" s="4">
        <v>8884</v>
      </c>
      <c r="L4" s="4">
        <v>10486</v>
      </c>
      <c r="M4" s="4">
        <v>11641</v>
      </c>
      <c r="N4" s="4">
        <v>2227</v>
      </c>
    </row>
    <row r="5" spans="1:14" x14ac:dyDescent="0.35">
      <c r="A5" s="3" t="s">
        <v>37</v>
      </c>
      <c r="B5" s="4">
        <v>0</v>
      </c>
      <c r="C5" s="4">
        <v>77184</v>
      </c>
      <c r="D5" s="4">
        <v>0</v>
      </c>
      <c r="E5" s="4">
        <v>0</v>
      </c>
      <c r="F5" s="4">
        <v>0</v>
      </c>
      <c r="G5" s="4">
        <v>891</v>
      </c>
      <c r="H5" s="4">
        <v>473</v>
      </c>
      <c r="I5" s="4">
        <v>858</v>
      </c>
      <c r="J5" s="4">
        <v>540</v>
      </c>
      <c r="K5" s="4">
        <v>407</v>
      </c>
      <c r="L5" s="4">
        <v>321</v>
      </c>
      <c r="M5" s="4">
        <v>775</v>
      </c>
      <c r="N5" s="4">
        <v>253</v>
      </c>
    </row>
    <row r="6" spans="1:14" x14ac:dyDescent="0.35">
      <c r="A6" s="3" t="s">
        <v>38</v>
      </c>
      <c r="B6" s="4">
        <v>9226</v>
      </c>
      <c r="C6" s="4">
        <v>143</v>
      </c>
      <c r="D6" s="4">
        <v>25</v>
      </c>
      <c r="E6" s="4">
        <v>232</v>
      </c>
      <c r="F6" s="4">
        <v>44</v>
      </c>
      <c r="G6" s="4">
        <v>65</v>
      </c>
      <c r="H6" s="4">
        <v>911</v>
      </c>
      <c r="I6" s="4">
        <v>1078</v>
      </c>
      <c r="J6" s="4">
        <v>1335</v>
      </c>
      <c r="K6" s="4">
        <v>6006</v>
      </c>
      <c r="L6" s="4">
        <v>10031</v>
      </c>
      <c r="M6" s="4">
        <v>28985</v>
      </c>
      <c r="N6" s="4">
        <v>6871</v>
      </c>
    </row>
    <row r="7" spans="1:14" x14ac:dyDescent="0.35">
      <c r="A7" s="3" t="s">
        <v>39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168470</v>
      </c>
    </row>
    <row r="8" spans="1:14" x14ac:dyDescent="0.35">
      <c r="A8" s="3" t="s">
        <v>40</v>
      </c>
      <c r="B8" s="4">
        <v>1208</v>
      </c>
      <c r="C8" s="4">
        <v>2288</v>
      </c>
      <c r="D8" s="4">
        <v>4348</v>
      </c>
      <c r="E8" s="4">
        <v>9123</v>
      </c>
      <c r="F8" s="4">
        <v>10778</v>
      </c>
      <c r="G8" s="4">
        <v>19148</v>
      </c>
      <c r="H8" s="4">
        <v>12561</v>
      </c>
      <c r="I8" s="4">
        <v>14576</v>
      </c>
      <c r="J8" s="4">
        <v>9695</v>
      </c>
      <c r="K8" s="4">
        <v>6403</v>
      </c>
      <c r="L8" s="4">
        <v>3716</v>
      </c>
      <c r="M8" s="4">
        <v>4741</v>
      </c>
      <c r="N8" s="4">
        <v>918</v>
      </c>
    </row>
    <row r="9" spans="1:14" x14ac:dyDescent="0.35">
      <c r="A9" s="3" t="s">
        <v>41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2280</v>
      </c>
      <c r="H9" s="4">
        <v>3327</v>
      </c>
      <c r="I9" s="4">
        <v>669</v>
      </c>
      <c r="J9" s="4">
        <v>3534</v>
      </c>
      <c r="K9" s="4">
        <v>700</v>
      </c>
      <c r="L9" s="4">
        <v>12257</v>
      </c>
      <c r="M9" s="4">
        <v>34557</v>
      </c>
      <c r="N9" s="4">
        <v>9643</v>
      </c>
    </row>
    <row r="10" spans="1:14" x14ac:dyDescent="0.35">
      <c r="A10" s="3" t="s">
        <v>42</v>
      </c>
      <c r="B10" s="4">
        <v>27870</v>
      </c>
      <c r="C10" s="4">
        <v>12801</v>
      </c>
      <c r="D10" s="4">
        <v>11009</v>
      </c>
      <c r="E10" s="4">
        <v>18372</v>
      </c>
      <c r="F10" s="4">
        <v>14813</v>
      </c>
      <c r="G10" s="4">
        <v>12646</v>
      </c>
      <c r="H10" s="4">
        <v>9745</v>
      </c>
      <c r="I10" s="4">
        <v>13987</v>
      </c>
      <c r="J10" s="4">
        <v>10534</v>
      </c>
      <c r="K10" s="4">
        <v>9620</v>
      </c>
      <c r="L10" s="4">
        <v>13281</v>
      </c>
      <c r="M10" s="4">
        <v>13800</v>
      </c>
      <c r="N10" s="4">
        <v>6007</v>
      </c>
    </row>
    <row r="11" spans="1:14" x14ac:dyDescent="0.35">
      <c r="A11" s="3" t="s">
        <v>43</v>
      </c>
      <c r="B11" s="4">
        <v>11234</v>
      </c>
      <c r="C11" s="4">
        <v>15276</v>
      </c>
      <c r="D11" s="4">
        <v>5140</v>
      </c>
      <c r="E11" s="4">
        <v>5598</v>
      </c>
      <c r="F11" s="4">
        <v>10018</v>
      </c>
      <c r="G11" s="4">
        <v>11415</v>
      </c>
      <c r="H11" s="4">
        <v>4707</v>
      </c>
      <c r="I11" s="4">
        <v>8630</v>
      </c>
      <c r="J11" s="4">
        <v>5733</v>
      </c>
      <c r="K11" s="4">
        <v>7123</v>
      </c>
      <c r="L11" s="4">
        <v>4848</v>
      </c>
      <c r="M11" s="4">
        <v>14362</v>
      </c>
      <c r="N11" s="4">
        <v>2207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3"/>
  <sheetViews>
    <sheetView zoomScaleNormal="100" workbookViewId="0">
      <pane ySplit="1" topLeftCell="A2" activePane="bottomLeft" state="frozen"/>
      <selection pane="bottomLeft" activeCell="F18" sqref="F18"/>
    </sheetView>
  </sheetViews>
  <sheetFormatPr defaultColWidth="8.6328125" defaultRowHeight="14.5" x14ac:dyDescent="0.35"/>
  <cols>
    <col min="1" max="1" width="32" customWidth="1"/>
    <col min="2" max="2" width="12" customWidth="1"/>
    <col min="3" max="3" width="14" customWidth="1"/>
  </cols>
  <sheetData>
    <row r="1" spans="1:3" x14ac:dyDescent="0.35">
      <c r="A1" s="5" t="s">
        <v>20</v>
      </c>
      <c r="B1" s="5" t="s">
        <v>44</v>
      </c>
      <c r="C1" s="5" t="s">
        <v>45</v>
      </c>
    </row>
    <row r="2" spans="1:3" x14ac:dyDescent="0.35">
      <c r="A2" s="6" t="s">
        <v>34</v>
      </c>
      <c r="B2" s="6" t="s">
        <v>21</v>
      </c>
      <c r="C2" s="7">
        <v>3986</v>
      </c>
    </row>
    <row r="3" spans="1:3" x14ac:dyDescent="0.35">
      <c r="A3" s="6" t="s">
        <v>34</v>
      </c>
      <c r="B3" s="6" t="s">
        <v>22</v>
      </c>
      <c r="C3" s="7">
        <v>2921</v>
      </c>
    </row>
    <row r="4" spans="1:3" x14ac:dyDescent="0.35">
      <c r="A4" s="6" t="s">
        <v>34</v>
      </c>
      <c r="B4" s="6" t="s">
        <v>23</v>
      </c>
      <c r="C4" s="7">
        <v>2736</v>
      </c>
    </row>
    <row r="5" spans="1:3" x14ac:dyDescent="0.35">
      <c r="A5" s="6" t="s">
        <v>34</v>
      </c>
      <c r="B5" s="6" t="s">
        <v>24</v>
      </c>
      <c r="C5" s="7">
        <v>4303</v>
      </c>
    </row>
    <row r="6" spans="1:3" x14ac:dyDescent="0.35">
      <c r="A6" s="6" t="s">
        <v>34</v>
      </c>
      <c r="B6" s="6" t="s">
        <v>25</v>
      </c>
      <c r="C6" s="7">
        <v>4174</v>
      </c>
    </row>
    <row r="7" spans="1:3" x14ac:dyDescent="0.35">
      <c r="A7" s="6" t="s">
        <v>34</v>
      </c>
      <c r="B7" s="6" t="s">
        <v>26</v>
      </c>
      <c r="C7" s="7">
        <v>5052</v>
      </c>
    </row>
    <row r="8" spans="1:3" x14ac:dyDescent="0.35">
      <c r="A8" s="6" t="s">
        <v>34</v>
      </c>
      <c r="B8" s="6" t="s">
        <v>27</v>
      </c>
      <c r="C8" s="7">
        <v>2628</v>
      </c>
    </row>
    <row r="9" spans="1:3" x14ac:dyDescent="0.35">
      <c r="A9" s="6" t="s">
        <v>34</v>
      </c>
      <c r="B9" s="6" t="s">
        <v>28</v>
      </c>
      <c r="C9" s="7">
        <v>3129</v>
      </c>
    </row>
    <row r="10" spans="1:3" x14ac:dyDescent="0.35">
      <c r="A10" s="6" t="s">
        <v>34</v>
      </c>
      <c r="B10" s="6" t="s">
        <v>29</v>
      </c>
      <c r="C10" s="7">
        <v>9882</v>
      </c>
    </row>
    <row r="11" spans="1:3" x14ac:dyDescent="0.35">
      <c r="A11" s="6" t="s">
        <v>34</v>
      </c>
      <c r="B11" s="6" t="s">
        <v>30</v>
      </c>
      <c r="C11" s="7">
        <v>4994</v>
      </c>
    </row>
    <row r="12" spans="1:3" x14ac:dyDescent="0.35">
      <c r="A12" s="6" t="s">
        <v>34</v>
      </c>
      <c r="B12" s="6" t="s">
        <v>31</v>
      </c>
      <c r="C12" s="7">
        <v>4686</v>
      </c>
    </row>
    <row r="13" spans="1:3" x14ac:dyDescent="0.35">
      <c r="A13" s="6" t="s">
        <v>34</v>
      </c>
      <c r="B13" s="6" t="s">
        <v>32</v>
      </c>
      <c r="C13" s="7">
        <v>8441</v>
      </c>
    </row>
    <row r="14" spans="1:3" x14ac:dyDescent="0.35">
      <c r="A14" s="6" t="s">
        <v>34</v>
      </c>
      <c r="B14" s="6" t="s">
        <v>33</v>
      </c>
      <c r="C14" s="7">
        <v>2163</v>
      </c>
    </row>
    <row r="15" spans="1:3" x14ac:dyDescent="0.35">
      <c r="A15" s="6" t="s">
        <v>35</v>
      </c>
      <c r="B15" s="6" t="s">
        <v>21</v>
      </c>
      <c r="C15" s="7">
        <v>7506</v>
      </c>
    </row>
    <row r="16" spans="1:3" x14ac:dyDescent="0.35">
      <c r="A16" s="6" t="s">
        <v>35</v>
      </c>
      <c r="B16" s="6" t="s">
        <v>22</v>
      </c>
      <c r="C16" s="7">
        <v>5901</v>
      </c>
    </row>
    <row r="17" spans="1:3" x14ac:dyDescent="0.35">
      <c r="A17" s="6" t="s">
        <v>35</v>
      </c>
      <c r="B17" s="6" t="s">
        <v>23</v>
      </c>
      <c r="C17" s="7">
        <v>3616</v>
      </c>
    </row>
    <row r="18" spans="1:3" x14ac:dyDescent="0.35">
      <c r="A18" s="6" t="s">
        <v>35</v>
      </c>
      <c r="B18" s="6" t="s">
        <v>24</v>
      </c>
      <c r="C18" s="7">
        <v>3093</v>
      </c>
    </row>
    <row r="19" spans="1:3" x14ac:dyDescent="0.35">
      <c r="A19" s="6" t="s">
        <v>35</v>
      </c>
      <c r="B19" s="6" t="s">
        <v>25</v>
      </c>
      <c r="C19" s="7">
        <v>358</v>
      </c>
    </row>
    <row r="20" spans="1:3" x14ac:dyDescent="0.35">
      <c r="A20" s="6" t="s">
        <v>35</v>
      </c>
      <c r="B20" s="6" t="s">
        <v>26</v>
      </c>
      <c r="C20" s="7">
        <v>2297</v>
      </c>
    </row>
    <row r="21" spans="1:3" x14ac:dyDescent="0.35">
      <c r="A21" s="6" t="s">
        <v>35</v>
      </c>
      <c r="B21" s="6" t="s">
        <v>27</v>
      </c>
      <c r="C21" s="7">
        <v>2310</v>
      </c>
    </row>
    <row r="22" spans="1:3" x14ac:dyDescent="0.35">
      <c r="A22" s="6" t="s">
        <v>35</v>
      </c>
      <c r="B22" s="6" t="s">
        <v>28</v>
      </c>
      <c r="C22" s="7">
        <v>4295</v>
      </c>
    </row>
    <row r="23" spans="1:3" x14ac:dyDescent="0.35">
      <c r="A23" s="6" t="s">
        <v>35</v>
      </c>
      <c r="B23" s="6" t="s">
        <v>29</v>
      </c>
      <c r="C23" s="7">
        <v>2260</v>
      </c>
    </row>
    <row r="24" spans="1:3" x14ac:dyDescent="0.35">
      <c r="A24" s="6" t="s">
        <v>35</v>
      </c>
      <c r="B24" s="6" t="s">
        <v>30</v>
      </c>
      <c r="C24" s="7">
        <v>3677</v>
      </c>
    </row>
    <row r="25" spans="1:3" x14ac:dyDescent="0.35">
      <c r="A25" s="6" t="s">
        <v>35</v>
      </c>
      <c r="B25" s="6" t="s">
        <v>31</v>
      </c>
      <c r="C25" s="7">
        <v>4678</v>
      </c>
    </row>
    <row r="26" spans="1:3" x14ac:dyDescent="0.35">
      <c r="A26" s="6" t="s">
        <v>35</v>
      </c>
      <c r="B26" s="6" t="s">
        <v>32</v>
      </c>
      <c r="C26" s="7">
        <v>11486</v>
      </c>
    </row>
    <row r="27" spans="1:3" x14ac:dyDescent="0.35">
      <c r="A27" s="6" t="s">
        <v>35</v>
      </c>
      <c r="B27" s="6" t="s">
        <v>33</v>
      </c>
      <c r="C27" s="7">
        <v>2640</v>
      </c>
    </row>
    <row r="28" spans="1:3" x14ac:dyDescent="0.35">
      <c r="A28" s="6" t="s">
        <v>36</v>
      </c>
      <c r="B28" s="6" t="s">
        <v>21</v>
      </c>
      <c r="C28" s="7">
        <v>4019</v>
      </c>
    </row>
    <row r="29" spans="1:3" x14ac:dyDescent="0.35">
      <c r="A29" s="6" t="s">
        <v>36</v>
      </c>
      <c r="B29" s="6" t="s">
        <v>22</v>
      </c>
      <c r="C29" s="7">
        <v>5048</v>
      </c>
    </row>
    <row r="30" spans="1:3" x14ac:dyDescent="0.35">
      <c r="A30" s="6" t="s">
        <v>36</v>
      </c>
      <c r="B30" s="6" t="s">
        <v>23</v>
      </c>
      <c r="C30" s="7">
        <v>5617</v>
      </c>
    </row>
    <row r="31" spans="1:3" x14ac:dyDescent="0.35">
      <c r="A31" s="6" t="s">
        <v>36</v>
      </c>
      <c r="B31" s="6" t="s">
        <v>24</v>
      </c>
      <c r="C31" s="7">
        <v>10118</v>
      </c>
    </row>
    <row r="32" spans="1:3" x14ac:dyDescent="0.35">
      <c r="A32" s="6" t="s">
        <v>36</v>
      </c>
      <c r="B32" s="6" t="s">
        <v>25</v>
      </c>
      <c r="C32" s="7">
        <v>4878</v>
      </c>
    </row>
    <row r="33" spans="1:3" x14ac:dyDescent="0.35">
      <c r="A33" s="6" t="s">
        <v>36</v>
      </c>
      <c r="B33" s="6" t="s">
        <v>26</v>
      </c>
      <c r="C33" s="7">
        <v>7123</v>
      </c>
    </row>
    <row r="34" spans="1:3" x14ac:dyDescent="0.35">
      <c r="A34" s="6" t="s">
        <v>36</v>
      </c>
      <c r="B34" s="6" t="s">
        <v>27</v>
      </c>
      <c r="C34" s="7">
        <v>7248</v>
      </c>
    </row>
    <row r="35" spans="1:3" x14ac:dyDescent="0.35">
      <c r="A35" s="6" t="s">
        <v>36</v>
      </c>
      <c r="B35" s="6" t="s">
        <v>28</v>
      </c>
      <c r="C35" s="7">
        <v>6254</v>
      </c>
    </row>
    <row r="36" spans="1:3" x14ac:dyDescent="0.35">
      <c r="A36" s="6" t="s">
        <v>36</v>
      </c>
      <c r="B36" s="6" t="s">
        <v>29</v>
      </c>
      <c r="C36" s="7">
        <v>10797</v>
      </c>
    </row>
    <row r="37" spans="1:3" x14ac:dyDescent="0.35">
      <c r="A37" s="6" t="s">
        <v>36</v>
      </c>
      <c r="B37" s="6" t="s">
        <v>30</v>
      </c>
      <c r="C37" s="7">
        <v>8884</v>
      </c>
    </row>
    <row r="38" spans="1:3" x14ac:dyDescent="0.35">
      <c r="A38" s="6" t="s">
        <v>36</v>
      </c>
      <c r="B38" s="6" t="s">
        <v>31</v>
      </c>
      <c r="C38" s="7">
        <v>10486</v>
      </c>
    </row>
    <row r="39" spans="1:3" x14ac:dyDescent="0.35">
      <c r="A39" s="6" t="s">
        <v>36</v>
      </c>
      <c r="B39" s="6" t="s">
        <v>32</v>
      </c>
      <c r="C39" s="7">
        <v>11641</v>
      </c>
    </row>
    <row r="40" spans="1:3" x14ac:dyDescent="0.35">
      <c r="A40" s="6" t="s">
        <v>36</v>
      </c>
      <c r="B40" s="6" t="s">
        <v>33</v>
      </c>
      <c r="C40" s="7">
        <v>2227</v>
      </c>
    </row>
    <row r="41" spans="1:3" x14ac:dyDescent="0.35">
      <c r="A41" s="6" t="s">
        <v>37</v>
      </c>
      <c r="B41" s="6" t="s">
        <v>22</v>
      </c>
      <c r="C41" s="7">
        <v>77184</v>
      </c>
    </row>
    <row r="42" spans="1:3" x14ac:dyDescent="0.35">
      <c r="A42" s="6" t="s">
        <v>37</v>
      </c>
      <c r="B42" s="6" t="s">
        <v>26</v>
      </c>
      <c r="C42" s="7">
        <v>891</v>
      </c>
    </row>
    <row r="43" spans="1:3" x14ac:dyDescent="0.35">
      <c r="A43" s="6" t="s">
        <v>37</v>
      </c>
      <c r="B43" s="6" t="s">
        <v>27</v>
      </c>
      <c r="C43" s="7">
        <v>473</v>
      </c>
    </row>
    <row r="44" spans="1:3" x14ac:dyDescent="0.35">
      <c r="A44" s="6" t="s">
        <v>37</v>
      </c>
      <c r="B44" s="6" t="s">
        <v>28</v>
      </c>
      <c r="C44" s="7">
        <v>858</v>
      </c>
    </row>
    <row r="45" spans="1:3" x14ac:dyDescent="0.35">
      <c r="A45" s="6" t="s">
        <v>37</v>
      </c>
      <c r="B45" s="6" t="s">
        <v>29</v>
      </c>
      <c r="C45" s="7">
        <v>540</v>
      </c>
    </row>
    <row r="46" spans="1:3" x14ac:dyDescent="0.35">
      <c r="A46" s="6" t="s">
        <v>37</v>
      </c>
      <c r="B46" s="6" t="s">
        <v>30</v>
      </c>
      <c r="C46" s="7">
        <v>407</v>
      </c>
    </row>
    <row r="47" spans="1:3" x14ac:dyDescent="0.35">
      <c r="A47" s="6" t="s">
        <v>37</v>
      </c>
      <c r="B47" s="6" t="s">
        <v>31</v>
      </c>
      <c r="C47" s="7">
        <v>321</v>
      </c>
    </row>
    <row r="48" spans="1:3" x14ac:dyDescent="0.35">
      <c r="A48" s="6" t="s">
        <v>37</v>
      </c>
      <c r="B48" s="6" t="s">
        <v>32</v>
      </c>
      <c r="C48" s="7">
        <v>775</v>
      </c>
    </row>
    <row r="49" spans="1:3" x14ac:dyDescent="0.35">
      <c r="A49" s="6" t="s">
        <v>37</v>
      </c>
      <c r="B49" s="6" t="s">
        <v>33</v>
      </c>
      <c r="C49" s="7">
        <v>253</v>
      </c>
    </row>
    <row r="50" spans="1:3" x14ac:dyDescent="0.35">
      <c r="A50" s="6" t="s">
        <v>38</v>
      </c>
      <c r="B50" s="6" t="s">
        <v>21</v>
      </c>
      <c r="C50" s="7">
        <v>9226</v>
      </c>
    </row>
    <row r="51" spans="1:3" x14ac:dyDescent="0.35">
      <c r="A51" s="6" t="s">
        <v>38</v>
      </c>
      <c r="B51" s="6" t="s">
        <v>22</v>
      </c>
      <c r="C51" s="7">
        <v>143</v>
      </c>
    </row>
    <row r="52" spans="1:3" x14ac:dyDescent="0.35">
      <c r="A52" s="6" t="s">
        <v>38</v>
      </c>
      <c r="B52" s="6" t="s">
        <v>23</v>
      </c>
      <c r="C52" s="7">
        <v>25</v>
      </c>
    </row>
    <row r="53" spans="1:3" x14ac:dyDescent="0.35">
      <c r="A53" s="6" t="s">
        <v>38</v>
      </c>
      <c r="B53" s="6" t="s">
        <v>24</v>
      </c>
      <c r="C53" s="7">
        <v>232</v>
      </c>
    </row>
    <row r="54" spans="1:3" x14ac:dyDescent="0.35">
      <c r="A54" s="6" t="s">
        <v>38</v>
      </c>
      <c r="B54" s="6" t="s">
        <v>25</v>
      </c>
      <c r="C54" s="7">
        <v>44</v>
      </c>
    </row>
    <row r="55" spans="1:3" x14ac:dyDescent="0.35">
      <c r="A55" s="6" t="s">
        <v>38</v>
      </c>
      <c r="B55" s="6" t="s">
        <v>26</v>
      </c>
      <c r="C55" s="7">
        <v>65</v>
      </c>
    </row>
    <row r="56" spans="1:3" x14ac:dyDescent="0.35">
      <c r="A56" s="6" t="s">
        <v>38</v>
      </c>
      <c r="B56" s="6" t="s">
        <v>27</v>
      </c>
      <c r="C56" s="7">
        <v>911</v>
      </c>
    </row>
    <row r="57" spans="1:3" x14ac:dyDescent="0.35">
      <c r="A57" s="6" t="s">
        <v>38</v>
      </c>
      <c r="B57" s="6" t="s">
        <v>28</v>
      </c>
      <c r="C57" s="7">
        <v>1078</v>
      </c>
    </row>
    <row r="58" spans="1:3" x14ac:dyDescent="0.35">
      <c r="A58" s="6" t="s">
        <v>38</v>
      </c>
      <c r="B58" s="6" t="s">
        <v>29</v>
      </c>
      <c r="C58" s="7">
        <v>1335</v>
      </c>
    </row>
    <row r="59" spans="1:3" x14ac:dyDescent="0.35">
      <c r="A59" s="6" t="s">
        <v>38</v>
      </c>
      <c r="B59" s="6" t="s">
        <v>30</v>
      </c>
      <c r="C59" s="7">
        <v>6006</v>
      </c>
    </row>
    <row r="60" spans="1:3" x14ac:dyDescent="0.35">
      <c r="A60" s="6" t="s">
        <v>38</v>
      </c>
      <c r="B60" s="6" t="s">
        <v>31</v>
      </c>
      <c r="C60" s="7">
        <v>10031</v>
      </c>
    </row>
    <row r="61" spans="1:3" x14ac:dyDescent="0.35">
      <c r="A61" s="6" t="s">
        <v>38</v>
      </c>
      <c r="B61" s="6" t="s">
        <v>32</v>
      </c>
      <c r="C61" s="7">
        <v>28985</v>
      </c>
    </row>
    <row r="62" spans="1:3" x14ac:dyDescent="0.35">
      <c r="A62" s="6" t="s">
        <v>38</v>
      </c>
      <c r="B62" s="6" t="s">
        <v>33</v>
      </c>
      <c r="C62" s="7">
        <v>6871</v>
      </c>
    </row>
    <row r="63" spans="1:3" x14ac:dyDescent="0.35">
      <c r="A63" s="6" t="s">
        <v>39</v>
      </c>
      <c r="B63" s="6" t="s">
        <v>33</v>
      </c>
      <c r="C63" s="7">
        <v>168470</v>
      </c>
    </row>
    <row r="64" spans="1:3" x14ac:dyDescent="0.35">
      <c r="A64" s="6" t="s">
        <v>40</v>
      </c>
      <c r="B64" s="6" t="s">
        <v>21</v>
      </c>
      <c r="C64" s="7">
        <v>1208</v>
      </c>
    </row>
    <row r="65" spans="1:3" x14ac:dyDescent="0.35">
      <c r="A65" s="6" t="s">
        <v>40</v>
      </c>
      <c r="B65" s="6" t="s">
        <v>22</v>
      </c>
      <c r="C65" s="7">
        <v>2288</v>
      </c>
    </row>
    <row r="66" spans="1:3" x14ac:dyDescent="0.35">
      <c r="A66" s="6" t="s">
        <v>40</v>
      </c>
      <c r="B66" s="6" t="s">
        <v>23</v>
      </c>
      <c r="C66" s="7">
        <v>4348</v>
      </c>
    </row>
    <row r="67" spans="1:3" x14ac:dyDescent="0.35">
      <c r="A67" s="6" t="s">
        <v>40</v>
      </c>
      <c r="B67" s="6" t="s">
        <v>24</v>
      </c>
      <c r="C67" s="7">
        <v>9123</v>
      </c>
    </row>
    <row r="68" spans="1:3" x14ac:dyDescent="0.35">
      <c r="A68" s="6" t="s">
        <v>40</v>
      </c>
      <c r="B68" s="6" t="s">
        <v>25</v>
      </c>
      <c r="C68" s="7">
        <v>10778</v>
      </c>
    </row>
    <row r="69" spans="1:3" x14ac:dyDescent="0.35">
      <c r="A69" s="6" t="s">
        <v>40</v>
      </c>
      <c r="B69" s="6" t="s">
        <v>26</v>
      </c>
      <c r="C69" s="7">
        <v>19148</v>
      </c>
    </row>
    <row r="70" spans="1:3" x14ac:dyDescent="0.35">
      <c r="A70" s="6" t="s">
        <v>40</v>
      </c>
      <c r="B70" s="6" t="s">
        <v>27</v>
      </c>
      <c r="C70" s="7">
        <v>12561</v>
      </c>
    </row>
    <row r="71" spans="1:3" x14ac:dyDescent="0.35">
      <c r="A71" s="6" t="s">
        <v>40</v>
      </c>
      <c r="B71" s="6" t="s">
        <v>28</v>
      </c>
      <c r="C71" s="7">
        <v>14576</v>
      </c>
    </row>
    <row r="72" spans="1:3" x14ac:dyDescent="0.35">
      <c r="A72" s="6" t="s">
        <v>40</v>
      </c>
      <c r="B72" s="6" t="s">
        <v>29</v>
      </c>
      <c r="C72" s="7">
        <v>9695</v>
      </c>
    </row>
    <row r="73" spans="1:3" x14ac:dyDescent="0.35">
      <c r="A73" s="6" t="s">
        <v>40</v>
      </c>
      <c r="B73" s="6" t="s">
        <v>30</v>
      </c>
      <c r="C73" s="7">
        <v>6403</v>
      </c>
    </row>
    <row r="74" spans="1:3" x14ac:dyDescent="0.35">
      <c r="A74" s="6" t="s">
        <v>40</v>
      </c>
      <c r="B74" s="6" t="s">
        <v>31</v>
      </c>
      <c r="C74" s="7">
        <v>3716</v>
      </c>
    </row>
    <row r="75" spans="1:3" x14ac:dyDescent="0.35">
      <c r="A75" s="6" t="s">
        <v>40</v>
      </c>
      <c r="B75" s="6" t="s">
        <v>32</v>
      </c>
      <c r="C75" s="7">
        <v>4741</v>
      </c>
    </row>
    <row r="76" spans="1:3" x14ac:dyDescent="0.35">
      <c r="A76" s="6" t="s">
        <v>40</v>
      </c>
      <c r="B76" s="6" t="s">
        <v>33</v>
      </c>
      <c r="C76" s="7">
        <v>918</v>
      </c>
    </row>
    <row r="77" spans="1:3" x14ac:dyDescent="0.35">
      <c r="A77" s="6" t="s">
        <v>41</v>
      </c>
      <c r="B77" s="6" t="s">
        <v>26</v>
      </c>
      <c r="C77" s="7">
        <v>2280</v>
      </c>
    </row>
    <row r="78" spans="1:3" x14ac:dyDescent="0.35">
      <c r="A78" s="6" t="s">
        <v>41</v>
      </c>
      <c r="B78" s="6" t="s">
        <v>27</v>
      </c>
      <c r="C78" s="7">
        <v>3327</v>
      </c>
    </row>
    <row r="79" spans="1:3" x14ac:dyDescent="0.35">
      <c r="A79" s="6" t="s">
        <v>41</v>
      </c>
      <c r="B79" s="6" t="s">
        <v>28</v>
      </c>
      <c r="C79" s="7">
        <v>669</v>
      </c>
    </row>
    <row r="80" spans="1:3" x14ac:dyDescent="0.35">
      <c r="A80" s="6" t="s">
        <v>41</v>
      </c>
      <c r="B80" s="6" t="s">
        <v>29</v>
      </c>
      <c r="C80" s="7">
        <v>3534</v>
      </c>
    </row>
    <row r="81" spans="1:3" x14ac:dyDescent="0.35">
      <c r="A81" s="6" t="s">
        <v>41</v>
      </c>
      <c r="B81" s="6" t="s">
        <v>30</v>
      </c>
      <c r="C81" s="7">
        <v>700</v>
      </c>
    </row>
    <row r="82" spans="1:3" x14ac:dyDescent="0.35">
      <c r="A82" s="6" t="s">
        <v>41</v>
      </c>
      <c r="B82" s="6" t="s">
        <v>31</v>
      </c>
      <c r="C82" s="7">
        <v>12257</v>
      </c>
    </row>
    <row r="83" spans="1:3" x14ac:dyDescent="0.35">
      <c r="A83" s="6" t="s">
        <v>41</v>
      </c>
      <c r="B83" s="6" t="s">
        <v>32</v>
      </c>
      <c r="C83" s="7">
        <v>34557</v>
      </c>
    </row>
    <row r="84" spans="1:3" x14ac:dyDescent="0.35">
      <c r="A84" s="6" t="s">
        <v>41</v>
      </c>
      <c r="B84" s="6" t="s">
        <v>33</v>
      </c>
      <c r="C84" s="7">
        <v>9643</v>
      </c>
    </row>
    <row r="85" spans="1:3" x14ac:dyDescent="0.35">
      <c r="A85" s="6" t="s">
        <v>42</v>
      </c>
      <c r="B85" s="6" t="s">
        <v>21</v>
      </c>
      <c r="C85" s="7">
        <v>27870</v>
      </c>
    </row>
    <row r="86" spans="1:3" x14ac:dyDescent="0.35">
      <c r="A86" s="6" t="s">
        <v>42</v>
      </c>
      <c r="B86" s="6" t="s">
        <v>22</v>
      </c>
      <c r="C86" s="7">
        <v>12801</v>
      </c>
    </row>
    <row r="87" spans="1:3" x14ac:dyDescent="0.35">
      <c r="A87" s="6" t="s">
        <v>42</v>
      </c>
      <c r="B87" s="6" t="s">
        <v>23</v>
      </c>
      <c r="C87" s="7">
        <v>11009</v>
      </c>
    </row>
    <row r="88" spans="1:3" x14ac:dyDescent="0.35">
      <c r="A88" s="6" t="s">
        <v>42</v>
      </c>
      <c r="B88" s="6" t="s">
        <v>24</v>
      </c>
      <c r="C88" s="7">
        <v>18372</v>
      </c>
    </row>
    <row r="89" spans="1:3" x14ac:dyDescent="0.35">
      <c r="A89" s="6" t="s">
        <v>42</v>
      </c>
      <c r="B89" s="6" t="s">
        <v>25</v>
      </c>
      <c r="C89" s="7">
        <v>14813</v>
      </c>
    </row>
    <row r="90" spans="1:3" x14ac:dyDescent="0.35">
      <c r="A90" s="6" t="s">
        <v>42</v>
      </c>
      <c r="B90" s="6" t="s">
        <v>26</v>
      </c>
      <c r="C90" s="7">
        <v>12646</v>
      </c>
    </row>
    <row r="91" spans="1:3" x14ac:dyDescent="0.35">
      <c r="A91" s="6" t="s">
        <v>42</v>
      </c>
      <c r="B91" s="6" t="s">
        <v>27</v>
      </c>
      <c r="C91" s="7">
        <v>9745</v>
      </c>
    </row>
    <row r="92" spans="1:3" x14ac:dyDescent="0.35">
      <c r="A92" s="6" t="s">
        <v>42</v>
      </c>
      <c r="B92" s="6" t="s">
        <v>28</v>
      </c>
      <c r="C92" s="7">
        <v>13987</v>
      </c>
    </row>
    <row r="93" spans="1:3" x14ac:dyDescent="0.35">
      <c r="A93" s="6" t="s">
        <v>42</v>
      </c>
      <c r="B93" s="6" t="s">
        <v>29</v>
      </c>
      <c r="C93" s="7">
        <v>10534</v>
      </c>
    </row>
    <row r="94" spans="1:3" x14ac:dyDescent="0.35">
      <c r="A94" s="6" t="s">
        <v>42</v>
      </c>
      <c r="B94" s="6" t="s">
        <v>30</v>
      </c>
      <c r="C94" s="7">
        <v>9620</v>
      </c>
    </row>
    <row r="95" spans="1:3" x14ac:dyDescent="0.35">
      <c r="A95" s="6" t="s">
        <v>42</v>
      </c>
      <c r="B95" s="6" t="s">
        <v>31</v>
      </c>
      <c r="C95" s="7">
        <v>13281</v>
      </c>
    </row>
    <row r="96" spans="1:3" x14ac:dyDescent="0.35">
      <c r="A96" s="6" t="s">
        <v>42</v>
      </c>
      <c r="B96" s="6" t="s">
        <v>32</v>
      </c>
      <c r="C96" s="7">
        <v>13800</v>
      </c>
    </row>
    <row r="97" spans="1:3" x14ac:dyDescent="0.35">
      <c r="A97" s="6" t="s">
        <v>42</v>
      </c>
      <c r="B97" s="6" t="s">
        <v>33</v>
      </c>
      <c r="C97" s="7">
        <v>6007</v>
      </c>
    </row>
    <row r="98" spans="1:3" x14ac:dyDescent="0.35">
      <c r="A98" s="6" t="s">
        <v>43</v>
      </c>
      <c r="B98" s="6" t="s">
        <v>21</v>
      </c>
      <c r="C98" s="7">
        <v>11234</v>
      </c>
    </row>
    <row r="99" spans="1:3" x14ac:dyDescent="0.35">
      <c r="A99" s="6" t="s">
        <v>43</v>
      </c>
      <c r="B99" s="6" t="s">
        <v>22</v>
      </c>
      <c r="C99" s="7">
        <v>15276</v>
      </c>
    </row>
    <row r="100" spans="1:3" x14ac:dyDescent="0.35">
      <c r="A100" s="6" t="s">
        <v>43</v>
      </c>
      <c r="B100" s="6" t="s">
        <v>23</v>
      </c>
      <c r="C100" s="7">
        <v>5140</v>
      </c>
    </row>
    <row r="101" spans="1:3" x14ac:dyDescent="0.35">
      <c r="A101" s="6" t="s">
        <v>43</v>
      </c>
      <c r="B101" s="6" t="s">
        <v>24</v>
      </c>
      <c r="C101" s="7">
        <v>5598</v>
      </c>
    </row>
    <row r="102" spans="1:3" x14ac:dyDescent="0.35">
      <c r="A102" s="6" t="s">
        <v>43</v>
      </c>
      <c r="B102" s="6" t="s">
        <v>25</v>
      </c>
      <c r="C102" s="7">
        <v>10018</v>
      </c>
    </row>
    <row r="103" spans="1:3" x14ac:dyDescent="0.35">
      <c r="A103" s="6" t="s">
        <v>43</v>
      </c>
      <c r="B103" s="6" t="s">
        <v>26</v>
      </c>
      <c r="C103" s="7">
        <v>11415</v>
      </c>
    </row>
    <row r="104" spans="1:3" x14ac:dyDescent="0.35">
      <c r="A104" s="6" t="s">
        <v>43</v>
      </c>
      <c r="B104" s="6" t="s">
        <v>27</v>
      </c>
      <c r="C104" s="7">
        <v>4707</v>
      </c>
    </row>
    <row r="105" spans="1:3" x14ac:dyDescent="0.35">
      <c r="A105" s="6" t="s">
        <v>43</v>
      </c>
      <c r="B105" s="6" t="s">
        <v>28</v>
      </c>
      <c r="C105" s="7">
        <v>8630</v>
      </c>
    </row>
    <row r="106" spans="1:3" x14ac:dyDescent="0.35">
      <c r="A106" s="6" t="s">
        <v>43</v>
      </c>
      <c r="B106" s="6" t="s">
        <v>29</v>
      </c>
      <c r="C106" s="7">
        <v>5733</v>
      </c>
    </row>
    <row r="107" spans="1:3" x14ac:dyDescent="0.35">
      <c r="A107" s="6" t="s">
        <v>43</v>
      </c>
      <c r="B107" s="6" t="s">
        <v>30</v>
      </c>
      <c r="C107" s="7">
        <v>7123</v>
      </c>
    </row>
    <row r="108" spans="1:3" x14ac:dyDescent="0.35">
      <c r="A108" s="6" t="s">
        <v>43</v>
      </c>
      <c r="B108" s="6" t="s">
        <v>31</v>
      </c>
      <c r="C108" s="7">
        <v>4848</v>
      </c>
    </row>
    <row r="109" spans="1:3" x14ac:dyDescent="0.35">
      <c r="A109" s="6" t="s">
        <v>43</v>
      </c>
      <c r="B109" s="6" t="s">
        <v>32</v>
      </c>
      <c r="C109" s="7">
        <v>14362</v>
      </c>
    </row>
    <row r="110" spans="1:3" x14ac:dyDescent="0.35">
      <c r="A110" s="6" t="s">
        <v>43</v>
      </c>
      <c r="B110" s="6" t="s">
        <v>33</v>
      </c>
      <c r="C110" s="7">
        <v>2207</v>
      </c>
    </row>
    <row r="111" spans="1:3" x14ac:dyDescent="0.35">
      <c r="A111" s="8" t="s">
        <v>46</v>
      </c>
      <c r="B111" s="9"/>
      <c r="C111" s="10">
        <f>SUM(C2:C110)</f>
        <v>969922</v>
      </c>
    </row>
    <row r="113" spans="1:6" x14ac:dyDescent="0.35">
      <c r="A113" s="20" t="s">
        <v>47</v>
      </c>
      <c r="B113" s="20"/>
      <c r="C113" s="20"/>
      <c r="D113" s="20"/>
      <c r="E113" s="20"/>
      <c r="F113" s="20"/>
    </row>
  </sheetData>
  <mergeCells count="1">
    <mergeCell ref="A113:F1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tabSelected="1" zoomScaleNormal="100" workbookViewId="0">
      <selection activeCell="I29" sqref="I29"/>
    </sheetView>
  </sheetViews>
  <sheetFormatPr defaultColWidth="8.6328125" defaultRowHeight="14.5" x14ac:dyDescent="0.35"/>
  <cols>
    <col min="1" max="1" width="26" customWidth="1"/>
    <col min="2" max="2" width="14" customWidth="1"/>
  </cols>
  <sheetData>
    <row r="1" spans="1:6" ht="18" x14ac:dyDescent="0.4">
      <c r="A1" s="19" t="s">
        <v>48</v>
      </c>
      <c r="B1" s="19"/>
    </row>
    <row r="3" spans="1:6" x14ac:dyDescent="0.35">
      <c r="A3" s="1" t="s">
        <v>49</v>
      </c>
      <c r="B3" s="11">
        <v>25000</v>
      </c>
    </row>
    <row r="4" spans="1:6" x14ac:dyDescent="0.35">
      <c r="A4" s="1" t="s">
        <v>50</v>
      </c>
      <c r="B4" s="12">
        <v>7.4999999999999997E-2</v>
      </c>
    </row>
    <row r="5" spans="1:6" x14ac:dyDescent="0.35">
      <c r="A5" s="1" t="s">
        <v>51</v>
      </c>
      <c r="B5" s="13">
        <v>1</v>
      </c>
    </row>
    <row r="6" spans="1:6" x14ac:dyDescent="0.35">
      <c r="A6" s="1" t="s">
        <v>52</v>
      </c>
      <c r="B6" s="13">
        <v>12</v>
      </c>
    </row>
    <row r="9" spans="1:6" x14ac:dyDescent="0.35">
      <c r="A9" s="20" t="s">
        <v>53</v>
      </c>
      <c r="B9" s="20"/>
      <c r="C9" s="20"/>
      <c r="D9" s="20"/>
      <c r="E9" s="20"/>
      <c r="F9" s="20"/>
    </row>
  </sheetData>
  <mergeCells count="2">
    <mergeCell ref="A1:B1"/>
    <mergeCell ref="A9:F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zoomScaleNormal="100" workbookViewId="0">
      <selection activeCell="C17" sqref="C17"/>
    </sheetView>
  </sheetViews>
  <sheetFormatPr defaultColWidth="8.6328125" defaultRowHeight="14.5" x14ac:dyDescent="0.35"/>
  <cols>
    <col min="1" max="1" width="10" customWidth="1"/>
    <col min="2" max="5" width="16" customWidth="1"/>
  </cols>
  <sheetData>
    <row r="1" spans="1:5" ht="18" x14ac:dyDescent="0.4">
      <c r="A1" s="19" t="s">
        <v>54</v>
      </c>
      <c r="B1" s="19"/>
      <c r="C1" s="19"/>
      <c r="D1" s="19"/>
      <c r="E1" s="19"/>
    </row>
    <row r="3" spans="1:5" ht="15.5" x14ac:dyDescent="0.35">
      <c r="A3" s="1" t="s">
        <v>55</v>
      </c>
      <c r="B3" s="14">
        <f>-PMT('Loan Details'!$B$4/'Loan Details'!$B$6,'Loan Details'!$B$5*'Loan Details'!$B$6,'Loan Details'!$B$3)</f>
        <v>2168.9354221351805</v>
      </c>
    </row>
    <row r="6" spans="1:5" x14ac:dyDescent="0.35">
      <c r="A6" s="2" t="s">
        <v>44</v>
      </c>
      <c r="B6" s="2" t="s">
        <v>56</v>
      </c>
      <c r="C6" s="2" t="s">
        <v>57</v>
      </c>
      <c r="D6" s="2" t="s">
        <v>58</v>
      </c>
      <c r="E6" s="2" t="s">
        <v>59</v>
      </c>
    </row>
    <row r="7" spans="1:5" x14ac:dyDescent="0.35">
      <c r="A7" s="3">
        <v>1</v>
      </c>
      <c r="B7" s="15">
        <f t="shared" ref="B7:B18" si="0">$B$3</f>
        <v>2168.9354221351805</v>
      </c>
      <c r="C7" s="15">
        <f>-IPMT('Loan Details'!$B$4/'Loan Details'!$B$6,A7,'Loan Details'!$B$5*'Loan Details'!$B$6,'Loan Details'!$B$3)</f>
        <v>156.25</v>
      </c>
      <c r="D7" s="15">
        <f>-PPMT('Loan Details'!$B$4/'Loan Details'!$B$6,A7,'Loan Details'!$B$5*'Loan Details'!$B$6,'Loan Details'!$B$3)</f>
        <v>2012.6854221351803</v>
      </c>
      <c r="E7" s="15">
        <f>'Loan Details'!$B$3-D7</f>
        <v>22987.314577864821</v>
      </c>
    </row>
    <row r="8" spans="1:5" x14ac:dyDescent="0.35">
      <c r="A8" s="3">
        <v>2</v>
      </c>
      <c r="B8" s="15">
        <f t="shared" si="0"/>
        <v>2168.9354221351805</v>
      </c>
      <c r="C8" s="15">
        <f>-IPMT('Loan Details'!$B$4/'Loan Details'!$B$6,A8,'Loan Details'!$B$5*'Loan Details'!$B$6,'Loan Details'!$B$3)</f>
        <v>143.67071611165511</v>
      </c>
      <c r="D8" s="15">
        <f>-PPMT('Loan Details'!$B$4/'Loan Details'!$B$6,A8,'Loan Details'!$B$5*'Loan Details'!$B$6,'Loan Details'!$B$3)</f>
        <v>2025.2647060235252</v>
      </c>
      <c r="E8" s="15">
        <f t="shared" ref="E8:E18" si="1">E7-D8</f>
        <v>20962.049871841296</v>
      </c>
    </row>
    <row r="9" spans="1:5" x14ac:dyDescent="0.35">
      <c r="A9" s="3">
        <v>3</v>
      </c>
      <c r="B9" s="15">
        <f t="shared" si="0"/>
        <v>2168.9354221351805</v>
      </c>
      <c r="C9" s="15">
        <f>-IPMT('Loan Details'!$B$4/'Loan Details'!$B$6,A9,'Loan Details'!$B$5*'Loan Details'!$B$6,'Loan Details'!$B$3)</f>
        <v>131.01281169900807</v>
      </c>
      <c r="D9" s="15">
        <f>-PPMT('Loan Details'!$B$4/'Loan Details'!$B$6,A9,'Loan Details'!$B$5*'Loan Details'!$B$6,'Loan Details'!$B$3)</f>
        <v>2037.9226104361724</v>
      </c>
      <c r="E9" s="15">
        <f t="shared" si="1"/>
        <v>18924.127261405123</v>
      </c>
    </row>
    <row r="10" spans="1:5" x14ac:dyDescent="0.35">
      <c r="A10" s="3">
        <v>4</v>
      </c>
      <c r="B10" s="15">
        <f t="shared" si="0"/>
        <v>2168.9354221351805</v>
      </c>
      <c r="C10" s="15">
        <f>-IPMT('Loan Details'!$B$4/'Loan Details'!$B$6,A10,'Loan Details'!$B$5*'Loan Details'!$B$6,'Loan Details'!$B$3)</f>
        <v>118.27579538378201</v>
      </c>
      <c r="D10" s="15">
        <f>-PPMT('Loan Details'!$B$4/'Loan Details'!$B$6,A10,'Loan Details'!$B$5*'Loan Details'!$B$6,'Loan Details'!$B$3)</f>
        <v>2050.6596267513983</v>
      </c>
      <c r="E10" s="15">
        <f t="shared" si="1"/>
        <v>16873.467634653724</v>
      </c>
    </row>
    <row r="11" spans="1:5" x14ac:dyDescent="0.35">
      <c r="A11" s="3">
        <v>5</v>
      </c>
      <c r="B11" s="15">
        <f t="shared" si="0"/>
        <v>2168.9354221351805</v>
      </c>
      <c r="C11" s="15">
        <f>-IPMT('Loan Details'!$B$4/'Loan Details'!$B$6,A11,'Loan Details'!$B$5*'Loan Details'!$B$6,'Loan Details'!$B$3)</f>
        <v>105.45917271658577</v>
      </c>
      <c r="D11" s="15">
        <f>-PPMT('Loan Details'!$B$4/'Loan Details'!$B$6,A11,'Loan Details'!$B$5*'Loan Details'!$B$6,'Loan Details'!$B$3)</f>
        <v>2063.4762494185943</v>
      </c>
      <c r="E11" s="15">
        <f t="shared" si="1"/>
        <v>14809.991385235129</v>
      </c>
    </row>
    <row r="12" spans="1:5" x14ac:dyDescent="0.35">
      <c r="A12" s="3">
        <v>6</v>
      </c>
      <c r="B12" s="15">
        <f t="shared" si="0"/>
        <v>2168.9354221351805</v>
      </c>
      <c r="C12" s="15">
        <f>-IPMT('Loan Details'!$B$4/'Loan Details'!$B$6,A12,'Loan Details'!$B$5*'Loan Details'!$B$6,'Loan Details'!$B$3)</f>
        <v>92.562446157719521</v>
      </c>
      <c r="D12" s="15">
        <f>-PPMT('Loan Details'!$B$4/'Loan Details'!$B$6,A12,'Loan Details'!$B$5*'Loan Details'!$B$6,'Loan Details'!$B$3)</f>
        <v>2076.3729759774606</v>
      </c>
      <c r="E12" s="15">
        <f t="shared" si="1"/>
        <v>12733.61840925767</v>
      </c>
    </row>
    <row r="13" spans="1:5" x14ac:dyDescent="0.35">
      <c r="A13" s="3">
        <v>7</v>
      </c>
      <c r="B13" s="15">
        <f t="shared" si="0"/>
        <v>2168.9354221351805</v>
      </c>
      <c r="C13" s="15">
        <f>-IPMT('Loan Details'!$B$4/'Loan Details'!$B$6,A13,'Loan Details'!$B$5*'Loan Details'!$B$6,'Loan Details'!$B$3)</f>
        <v>79.585115057860421</v>
      </c>
      <c r="D13" s="15">
        <f>-PPMT('Loan Details'!$B$4/'Loan Details'!$B$6,A13,'Loan Details'!$B$5*'Loan Details'!$B$6,'Loan Details'!$B$3)</f>
        <v>2089.3503070773199</v>
      </c>
      <c r="E13" s="15">
        <f t="shared" si="1"/>
        <v>10644.268102180349</v>
      </c>
    </row>
    <row r="14" spans="1:5" x14ac:dyDescent="0.35">
      <c r="A14" s="3">
        <v>8</v>
      </c>
      <c r="B14" s="15">
        <f t="shared" si="0"/>
        <v>2168.9354221351805</v>
      </c>
      <c r="C14" s="15">
        <f>-IPMT('Loan Details'!$B$4/'Loan Details'!$B$6,A14,'Loan Details'!$B$5*'Loan Details'!$B$6,'Loan Details'!$B$3)</f>
        <v>66.526675638627168</v>
      </c>
      <c r="D14" s="15">
        <f>-PPMT('Loan Details'!$B$4/'Loan Details'!$B$6,A14,'Loan Details'!$B$5*'Loan Details'!$B$6,'Loan Details'!$B$3)</f>
        <v>2102.4087464965532</v>
      </c>
      <c r="E14" s="15">
        <f t="shared" si="1"/>
        <v>8541.859355683795</v>
      </c>
    </row>
    <row r="15" spans="1:5" x14ac:dyDescent="0.35">
      <c r="A15" s="3">
        <v>9</v>
      </c>
      <c r="B15" s="15">
        <f t="shared" si="0"/>
        <v>2168.9354221351805</v>
      </c>
      <c r="C15" s="15">
        <f>-IPMT('Loan Details'!$B$4/'Loan Details'!$B$6,A15,'Loan Details'!$B$5*'Loan Details'!$B$6,'Loan Details'!$B$3)</f>
        <v>53.386620973023724</v>
      </c>
      <c r="D15" s="15">
        <f>-PPMT('Loan Details'!$B$4/'Loan Details'!$B$6,A15,'Loan Details'!$B$5*'Loan Details'!$B$6,'Loan Details'!$B$3)</f>
        <v>2115.5488011621565</v>
      </c>
      <c r="E15" s="15">
        <f t="shared" si="1"/>
        <v>6426.3105545216386</v>
      </c>
    </row>
    <row r="16" spans="1:5" x14ac:dyDescent="0.35">
      <c r="A16" s="3">
        <v>10</v>
      </c>
      <c r="B16" s="15">
        <f t="shared" si="0"/>
        <v>2168.9354221351805</v>
      </c>
      <c r="C16" s="15">
        <f>-IPMT('Loan Details'!$B$4/'Loan Details'!$B$6,A16,'Loan Details'!$B$5*'Loan Details'!$B$6,'Loan Details'!$B$3)</f>
        <v>40.164440965760235</v>
      </c>
      <c r="D16" s="15">
        <f>-PPMT('Loan Details'!$B$4/'Loan Details'!$B$6,A16,'Loan Details'!$B$5*'Loan Details'!$B$6,'Loan Details'!$B$3)</f>
        <v>2128.7709811694203</v>
      </c>
      <c r="E16" s="15">
        <f t="shared" si="1"/>
        <v>4297.5395733522182</v>
      </c>
    </row>
    <row r="17" spans="1:5" x14ac:dyDescent="0.35">
      <c r="A17" s="3">
        <v>11</v>
      </c>
      <c r="B17" s="15">
        <f t="shared" si="0"/>
        <v>2168.9354221351805</v>
      </c>
      <c r="C17" s="15">
        <f>-IPMT('Loan Details'!$B$4/'Loan Details'!$B$6,A17,'Loan Details'!$B$5*'Loan Details'!$B$6,'Loan Details'!$B$3)</f>
        <v>26.859622333451362</v>
      </c>
      <c r="D17" s="15">
        <f>-PPMT('Loan Details'!$B$4/'Loan Details'!$B$6,A17,'Loan Details'!$B$5*'Loan Details'!$B$6,'Loan Details'!$B$3)</f>
        <v>2142.0757998017289</v>
      </c>
      <c r="E17" s="15">
        <f t="shared" si="1"/>
        <v>2155.4637735504893</v>
      </c>
    </row>
    <row r="18" spans="1:5" x14ac:dyDescent="0.35">
      <c r="A18" s="3">
        <v>12</v>
      </c>
      <c r="B18" s="15">
        <f t="shared" si="0"/>
        <v>2168.9354221351805</v>
      </c>
      <c r="C18" s="15">
        <f>-IPMT('Loan Details'!$B$4/'Loan Details'!$B$6,A18,'Loan Details'!$B$5*'Loan Details'!$B$6,'Loan Details'!$B$3)</f>
        <v>13.471648584690557</v>
      </c>
      <c r="D18" s="15">
        <f>-PPMT('Loan Details'!$B$4/'Loan Details'!$B$6,A18,'Loan Details'!$B$5*'Loan Details'!$B$6,'Loan Details'!$B$3)</f>
        <v>2155.4637735504898</v>
      </c>
      <c r="E18" s="15">
        <f t="shared" si="1"/>
        <v>0</v>
      </c>
    </row>
    <row r="20" spans="1:5" x14ac:dyDescent="0.35">
      <c r="A20" s="1" t="s">
        <v>60</v>
      </c>
      <c r="C20" s="16">
        <f>SUM(C7:C18)</f>
        <v>1027.2250656221638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"/>
  <sheetViews>
    <sheetView zoomScaleNormal="100" workbookViewId="0">
      <selection activeCell="F30" sqref="F30:F31"/>
    </sheetView>
  </sheetViews>
  <sheetFormatPr defaultColWidth="8.6328125" defaultRowHeight="14.5" x14ac:dyDescent="0.35"/>
  <cols>
    <col min="1" max="1" width="33.6328125" bestFit="1" customWidth="1"/>
    <col min="2" max="2" width="12.90625" bestFit="1" customWidth="1"/>
    <col min="3" max="3" width="14.54296875" bestFit="1" customWidth="1"/>
    <col min="4" max="4" width="10.08984375" bestFit="1" customWidth="1"/>
    <col min="5" max="5" width="17.6328125" bestFit="1" customWidth="1"/>
    <col min="6" max="6" width="16" customWidth="1"/>
  </cols>
  <sheetData>
    <row r="1" spans="1:6" ht="18" x14ac:dyDescent="0.4">
      <c r="A1" s="19" t="s">
        <v>61</v>
      </c>
      <c r="B1" s="19"/>
      <c r="C1" s="19"/>
      <c r="D1" s="19"/>
    </row>
    <row r="2" spans="1:6" x14ac:dyDescent="0.35">
      <c r="A2" s="20" t="s">
        <v>62</v>
      </c>
      <c r="B2" s="20"/>
      <c r="C2" s="20"/>
      <c r="D2" s="20"/>
      <c r="E2" s="20"/>
      <c r="F2" s="20"/>
    </row>
    <row r="4" spans="1:6" x14ac:dyDescent="0.35">
      <c r="A4" s="1" t="s">
        <v>63</v>
      </c>
      <c r="B4" s="13">
        <v>0</v>
      </c>
    </row>
    <row r="5" spans="1:6" x14ac:dyDescent="0.35">
      <c r="A5" s="1" t="s">
        <v>64</v>
      </c>
      <c r="B5" s="13">
        <v>10080.645161290326</v>
      </c>
    </row>
    <row r="8" spans="1:6" x14ac:dyDescent="0.35">
      <c r="A8" s="2"/>
      <c r="B8" s="2" t="s">
        <v>65</v>
      </c>
      <c r="C8" s="2" t="s">
        <v>66</v>
      </c>
      <c r="D8" s="2" t="s">
        <v>67</v>
      </c>
      <c r="E8" s="2" t="s">
        <v>68</v>
      </c>
    </row>
    <row r="9" spans="1:6" x14ac:dyDescent="0.35">
      <c r="A9" s="3" t="s">
        <v>42</v>
      </c>
      <c r="B9" s="15">
        <v>13.96</v>
      </c>
      <c r="C9" s="15">
        <f>B9*0.6</f>
        <v>8.3759999999999994</v>
      </c>
      <c r="D9" s="15">
        <f>B9-C9</f>
        <v>5.5840000000000014</v>
      </c>
      <c r="E9" s="3">
        <v>0.4</v>
      </c>
    </row>
    <row r="10" spans="1:6" x14ac:dyDescent="0.35">
      <c r="A10" s="3" t="s">
        <v>36</v>
      </c>
      <c r="B10" s="15">
        <v>2.48</v>
      </c>
      <c r="C10" s="15">
        <f>B10*0.6</f>
        <v>1.488</v>
      </c>
      <c r="D10" s="15">
        <f>B10-C10</f>
        <v>0.99199999999999999</v>
      </c>
      <c r="E10" s="3">
        <v>0.03</v>
      </c>
    </row>
    <row r="12" spans="1:6" x14ac:dyDescent="0.35">
      <c r="A12" s="1" t="s">
        <v>69</v>
      </c>
      <c r="B12" s="17">
        <v>15000</v>
      </c>
    </row>
    <row r="13" spans="1:6" x14ac:dyDescent="0.35">
      <c r="A13" s="1" t="s">
        <v>70</v>
      </c>
      <c r="B13" s="3">
        <v>350</v>
      </c>
    </row>
    <row r="15" spans="1:6" x14ac:dyDescent="0.35">
      <c r="A15" s="1" t="s">
        <v>71</v>
      </c>
      <c r="B15" s="15">
        <f>B4*D9+B5*D10</f>
        <v>10000.000000000004</v>
      </c>
    </row>
    <row r="16" spans="1:6" x14ac:dyDescent="0.35">
      <c r="A16" s="1" t="s">
        <v>72</v>
      </c>
      <c r="B16" s="15">
        <f>B4*C9+B5*C10</f>
        <v>15000.000000000004</v>
      </c>
    </row>
    <row r="17" spans="1:6" x14ac:dyDescent="0.35">
      <c r="A17" s="1" t="s">
        <v>73</v>
      </c>
      <c r="B17" s="18">
        <f>B4*E9+B5*E10</f>
        <v>302.41935483870975</v>
      </c>
    </row>
    <row r="19" spans="1:6" x14ac:dyDescent="0.35">
      <c r="A19" s="20" t="s">
        <v>74</v>
      </c>
      <c r="B19" s="20"/>
      <c r="C19" s="20"/>
      <c r="D19" s="20"/>
      <c r="E19" s="20"/>
      <c r="F19" s="20"/>
    </row>
  </sheetData>
  <mergeCells count="3">
    <mergeCell ref="A1:D1"/>
    <mergeCell ref="A2:F2"/>
    <mergeCell ref="A19:F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Monthly Sales (Wide)</vt:lpstr>
      <vt:lpstr>Monthly Sales (Long)</vt:lpstr>
      <vt:lpstr>Loan Details</vt:lpstr>
      <vt:lpstr>Amortization</vt:lpstr>
      <vt:lpstr>Production Mix (Solver)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Rohan B</cp:lastModifiedBy>
  <cp:revision>0</cp:revision>
  <dcterms:created xsi:type="dcterms:W3CDTF">2026-09-22T06:47:00Z</dcterms:created>
  <dcterms:modified xsi:type="dcterms:W3CDTF">2026-09-23T10:48:07Z</dcterms:modified>
  <dc:language>en-US</dc:language>
</cp:coreProperties>
</file>